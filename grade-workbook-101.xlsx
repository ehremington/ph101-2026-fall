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-10-31T0942_Grades-PHYS101.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<sst xmlns="http://schemas.openxmlformats.org/spreadsheetml/2006/main" count="99" uniqueCount="59">
  <si>
    <t xml:space="preserve">Final Exam MWF - Requires Respondus LockDown Browser + Webcam (392827)</t>
  </si>
  <si>
    <t xml:space="preserve">Roll Call Attendance (402645)</t>
  </si>
  <si>
    <t xml:space="preserve">Assignments Current Score</t>
  </si>
  <si>
    <t xml:space="preserve">Assignments Unposted Current Score</t>
  </si>
  <si>
    <t xml:space="preserve">Assignments Final Score</t>
  </si>
  <si>
    <t xml:space="preserve">Assignments Unposted Final Score</t>
  </si>
  <si>
    <t xml:space="preserve">Quizzes Current Score</t>
  </si>
  <si>
    <t xml:space="preserve">Quizzes Unposted Current Score</t>
  </si>
  <si>
    <t xml:space="preserve">Quizzes Final Score</t>
  </si>
  <si>
    <t xml:space="preserve">Quizzes Unposted Final Score</t>
  </si>
  <si>
    <t xml:space="preserve">Midterm Exam Current Score</t>
  </si>
  <si>
    <t xml:space="preserve">Midterm Exam Unposted Current Score</t>
  </si>
  <si>
    <t xml:space="preserve">Midterm Exam Final Score</t>
  </si>
  <si>
    <t xml:space="preserve">Midterm Exam Unposted Final Score</t>
  </si>
  <si>
    <t xml:space="preserve">Lab Current Score</t>
  </si>
  <si>
    <t xml:space="preserve">Lab Unposted Current Score</t>
  </si>
  <si>
    <t xml:space="preserve">Lab Final Score</t>
  </si>
  <si>
    <t xml:space="preserve">Lab Unposted Final Score</t>
  </si>
  <si>
    <t xml:space="preserve">Final Exam Current Score</t>
  </si>
  <si>
    <t xml:space="preserve">Final Exam Unposted Current Score</t>
  </si>
  <si>
    <t xml:space="preserve">Final Exam Final Score</t>
  </si>
  <si>
    <t xml:space="preserve">Final Exam Unposted Final Score</t>
  </si>
  <si>
    <t xml:space="preserve">Current Score</t>
  </si>
  <si>
    <t xml:space="preserve">Unposted Current Score</t>
  </si>
  <si>
    <t xml:space="preserve">Final Score</t>
  </si>
  <si>
    <t xml:space="preserve">Unposted Final Score</t>
  </si>
  <si>
    <t xml:space="preserve">Hypothetical grades are in yellow</t>
  </si>
  <si>
    <t xml:space="preserve">(read only)</t>
  </si>
  <si>
    <t xml:space="preserve">Average</t>
  </si>
  <si>
    <t xml:space="preserve">Weighted</t>
  </si>
  <si>
    <t xml:space="preserve">Actual Grades are in standard colors</t>
  </si>
  <si>
    <t xml:space="preserve">N/A</t>
  </si>
  <si>
    <t xml:space="preserve">HW</t>
  </si>
  <si>
    <t xml:space="preserve">Quiz</t>
  </si>
  <si>
    <t xml:space="preserve">Mid Term</t>
  </si>
  <si>
    <t xml:space="preserve">← The final may replace the midterm if higher</t>
  </si>
  <si>
    <t xml:space="preserve">Lab</t>
  </si>
  <si>
    <t xml:space="preserve">Final</t>
  </si>
  <si>
    <t xml:space="preserve">Overall</t>
  </si>
  <si>
    <t xml:space="preserve">← This is the final grade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</si>
  <si>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</si>
  <si>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</si>
  <si>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</si>
  <si>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</si>
  <si>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</si>
  <si>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7&amp;8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</si>
  <si>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</si>
  <si>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</si>
  <si>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</si>
  <si>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</si>
  <si>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</si>
  <si>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Week 14</t>
  </si>
  <si>
    <t xml:space="preserve">Possible </t>
  </si>
  <si>
    <t xml:space="preserve">Grade</t>
  </si>
  <si>
    <t xml:space="preserve">← DO YOUR HOMEWORK!</t>
  </si>
  <si>
    <t xml:space="preserve">← Type in your actual quiz grades and then some hypothetical grades</t>
  </si>
  <si>
    <t xml:space="preserve">← If the final is higher then it will count twice</t>
  </si>
  <si>
    <t xml:space="preserve">Lab Grade</t>
  </si>
  <si>
    <t xml:space="preserve">Final Exam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</si>
</sst>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9C57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F1" s="1" t="s">
        <v>0</v>
      </c>
      <c r="AG1" s="1" t="s">
        <v>1</v>
      </c>
      <c r="AH1" s="1" t="s">
        <v>2</v>
      </c>
      <c r="AI1" s="1" t="s">
        <v>3</v>
      </c>
      <c r="AJ1" s="1" t="s">
        <v>4</v>
      </c>
      <c r="AK1" s="1" t="s">
        <v>5</v>
      </c>
      <c r="AL1" s="1" t="s">
        <v>2</v>
      </c>
      <c r="AM1" s="1" t="s">
        <v>3</v>
      </c>
      <c r="AN1" s="1" t="s">
        <v>4</v>
      </c>
      <c r="AO1" s="1" t="s">
        <v>5</v>
      </c>
      <c r="AP1" s="1" t="s">
        <v>6</v>
      </c>
      <c r="AQ1" s="1" t="s">
        <v>7</v>
      </c>
      <c r="AR1" s="1" t="s">
        <v>8</v>
      </c>
      <c r="AS1" s="1" t="s">
        <v>9</v>
      </c>
      <c r="AT1" s="1" t="s">
        <v>10</v>
      </c>
      <c r="AU1" s="1" t="s">
        <v>11</v>
      </c>
      <c r="AV1" s="1" t="s">
        <v>12</v>
      </c>
      <c r="AW1" s="1" t="s">
        <v>13</v>
      </c>
      <c r="AX1" s="1" t="s">
        <v>14</v>
      </c>
      <c r="AY1" s="1" t="s">
        <v>15</v>
      </c>
      <c r="AZ1" s="1" t="s">
        <v>16</v>
      </c>
      <c r="BA1" s="1" t="s">
        <v>17</v>
      </c>
      <c r="BB1" s="1" t="s">
        <v>18</v>
      </c>
      <c r="BC1" s="1" t="s">
        <v>19</v>
      </c>
      <c r="BD1" s="1" t="s">
        <v>20</v>
      </c>
      <c r="BE1" s="1" t="s">
        <v>21</v>
      </c>
      <c r="BF1" s="1" t="s">
        <v>22</v>
      </c>
      <c r="BG1" s="1" t="s">
        <v>23</v>
      </c>
      <c r="BH1" s="1" t="s">
        <v>24</v>
      </c>
      <c r="BI1" s="1" t="s">
        <v>25</v>
      </c>
    </row>
    <row r="2" customFormat="false" ht="14.25" hidden="false" customHeight="false" outlineLevel="0" collapsed="false">
      <c r="G2" s="2" t="s">
        <v>26</v>
      </c>
      <c r="H2" s="2"/>
      <c r="I2" s="2"/>
      <c r="J2" s="2"/>
      <c r="AF2" s="1" t="n">
        <v>20</v>
      </c>
      <c r="AG2" s="1" t="n">
        <v>100</v>
      </c>
      <c r="AH2" s="1" t="s">
        <v>27</v>
      </c>
      <c r="AI2" s="1" t="s">
        <v>27</v>
      </c>
      <c r="AJ2" s="1" t="s">
        <v>27</v>
      </c>
      <c r="AK2" s="1" t="s">
        <v>27</v>
      </c>
      <c r="AL2" s="1" t="s">
        <v>27</v>
      </c>
      <c r="AM2" s="1" t="s">
        <v>27</v>
      </c>
      <c r="AN2" s="1" t="s">
        <v>27</v>
      </c>
      <c r="AO2" s="1" t="s">
        <v>27</v>
      </c>
      <c r="AP2" s="1" t="s">
        <v>27</v>
      </c>
      <c r="AQ2" s="1" t="s">
        <v>27</v>
      </c>
      <c r="AR2" s="1" t="s">
        <v>27</v>
      </c>
      <c r="AS2" s="1" t="s">
        <v>27</v>
      </c>
      <c r="AT2" s="1" t="s">
        <v>27</v>
      </c>
      <c r="AU2" s="1" t="s">
        <v>27</v>
      </c>
      <c r="AV2" s="1" t="s">
        <v>27</v>
      </c>
      <c r="AW2" s="1" t="s">
        <v>27</v>
      </c>
      <c r="AX2" s="1" t="s">
        <v>27</v>
      </c>
      <c r="AY2" s="1" t="s">
        <v>27</v>
      </c>
      <c r="AZ2" s="1" t="s">
        <v>27</v>
      </c>
      <c r="BA2" s="1" t="s">
        <v>27</v>
      </c>
      <c r="BB2" s="1" t="s">
        <v>27</v>
      </c>
      <c r="BC2" s="1" t="s">
        <v>27</v>
      </c>
      <c r="BD2" s="1" t="s">
        <v>27</v>
      </c>
      <c r="BE2" s="1" t="s">
        <v>27</v>
      </c>
      <c r="BF2" s="1" t="s">
        <v>27</v>
      </c>
      <c r="BG2" s="1" t="s">
        <v>27</v>
      </c>
      <c r="BH2" s="1" t="s">
        <v>27</v>
      </c>
      <c r="BI2" s="1" t="s">
        <v>27</v>
      </c>
    </row>
    <row r="3" customFormat="false" ht="14.25" hidden="false" customHeight="false" outlineLevel="0" collapsed="false">
      <c r="B3" s="3"/>
      <c r="C3" s="4" t="s">
        <v>28</v>
      </c>
      <c r="D3" s="5" t="s">
        <v>29</v>
      </c>
      <c r="G3" s="1" t="s">
        <v>30</v>
      </c>
      <c r="AF3" s="1" t="s">
        <v>31</v>
      </c>
      <c r="AJ3" s="1" t="n">
        <v>0</v>
      </c>
      <c r="AK3" s="1" t="n">
        <v>0</v>
      </c>
      <c r="AL3" s="1" t="n">
        <v>97.59</v>
      </c>
      <c r="AM3" s="1" t="n">
        <v>97.59</v>
      </c>
      <c r="AN3" s="1" t="n">
        <v>68.42</v>
      </c>
      <c r="AO3" s="1" t="n">
        <v>68.42</v>
      </c>
      <c r="AP3" s="1" t="n">
        <v>57.14</v>
      </c>
      <c r="AQ3" s="1" t="n">
        <v>57.14</v>
      </c>
      <c r="AR3" s="1" t="n">
        <v>43</v>
      </c>
      <c r="AS3" s="1" t="n">
        <v>43</v>
      </c>
      <c r="AT3" s="1" t="n">
        <v>50</v>
      </c>
      <c r="AU3" s="1" t="n">
        <v>50</v>
      </c>
      <c r="AV3" s="1" t="n">
        <v>50</v>
      </c>
      <c r="AW3" s="1" t="n">
        <v>50</v>
      </c>
      <c r="AZ3" s="1" t="n">
        <v>0</v>
      </c>
      <c r="BA3" s="1" t="n">
        <v>0</v>
      </c>
      <c r="BD3" s="1" t="n">
        <v>0</v>
      </c>
      <c r="BE3" s="1" t="n">
        <v>0</v>
      </c>
      <c r="BF3" s="1" t="n">
        <v>61.72</v>
      </c>
      <c r="BG3" s="1" t="n">
        <v>61.72</v>
      </c>
      <c r="BH3" s="1" t="n">
        <v>31.54</v>
      </c>
      <c r="BI3" s="1" t="n">
        <v>31.54</v>
      </c>
    </row>
    <row r="4" customFormat="false" ht="14.25" hidden="false" customHeight="false" outlineLevel="0" collapsed="false">
      <c r="B4" s="6" t="s">
        <v>32</v>
      </c>
      <c r="C4" s="7" t="n">
        <f aca="false">SUM(B14:M14)/SUM(B13:M13)*100</f>
        <v>97.2789115646258</v>
      </c>
      <c r="D4" s="8" t="n">
        <f aca="false">C4*0.1</f>
        <v>9.72789115646259</v>
      </c>
    </row>
    <row r="5" customFormat="false" ht="14.25" hidden="false" customHeight="false" outlineLevel="0" collapsed="false">
      <c r="B5" s="6" t="s">
        <v>33</v>
      </c>
      <c r="C5" s="7" t="n">
        <f aca="false">(SUM(B17:M17)-SMALL(B17:M17,1)-SMALL(B17:M17,2))/(SUM(B16:M16)-20)*100</f>
        <v>77</v>
      </c>
      <c r="D5" s="8" t="n">
        <f aca="false">C5*0.4</f>
        <v>30.8</v>
      </c>
    </row>
    <row r="6" customFormat="false" ht="14.25" hidden="false" customHeight="false" outlineLevel="0" collapsed="false">
      <c r="B6" s="6" t="s">
        <v>34</v>
      </c>
      <c r="C6" s="9" t="n">
        <f aca="false">B20/B19*100</f>
        <v>75</v>
      </c>
      <c r="D6" s="10" t="n">
        <f aca="false">IF(C6&lt;C8, 0.15*C8, 0.15*C6)</f>
        <v>12.75</v>
      </c>
      <c r="E6" s="1" t="s">
        <v>35</v>
      </c>
    </row>
    <row r="7" customFormat="false" ht="14.25" hidden="false" customHeight="false" outlineLevel="0" collapsed="false">
      <c r="B7" s="6" t="s">
        <v>36</v>
      </c>
      <c r="C7" s="9" t="n">
        <f aca="false">B23/B22*100</f>
        <v>95</v>
      </c>
      <c r="D7" s="10" t="n">
        <f aca="false">C7*0.2</f>
        <v>19</v>
      </c>
    </row>
    <row r="8" customFormat="false" ht="14.25" hidden="false" customHeight="false" outlineLevel="0" collapsed="false">
      <c r="B8" s="6" t="s">
        <v>37</v>
      </c>
      <c r="C8" s="9" t="n">
        <f aca="false">B26/B25*100</f>
        <v>85</v>
      </c>
      <c r="D8" s="10" t="n">
        <f aca="false">C8*0.15</f>
        <v>12.75</v>
      </c>
    </row>
    <row r="9" customFormat="false" ht="14.25" hidden="false" customHeight="false" outlineLevel="0" collapsed="false">
      <c r="B9" s="11" t="s">
        <v>38</v>
      </c>
      <c r="C9" s="12"/>
      <c r="D9" s="13" t="n">
        <f aca="false">SUM(D4:D8)</f>
        <v>85.0278911564626</v>
      </c>
      <c r="E9" s="1" t="s">
        <v>39</v>
      </c>
    </row>
    <row r="12" customFormat="false" ht="14.25" hidden="false" customHeight="false" outlineLevel="0" collapsed="false">
      <c r="B12" s="1" t="s">
        <v>40</v>
      </c>
      <c r="C12" s="1" t="s">
        <v>41</v>
      </c>
      <c r="D12" s="1" t="s">
        <v>42</v>
      </c>
      <c r="E12" s="1" t="s">
        <v>43</v>
      </c>
      <c r="F12" s="1" t="s">
        <v>44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49</v>
      </c>
      <c r="L12" s="1" t="s">
        <v>50</v>
      </c>
      <c r="M12" s="1" t="s">
        <v>51</v>
      </c>
    </row>
    <row r="13" customFormat="false" ht="14.25" hidden="false" customHeight="false" outlineLevel="0" collapsed="false">
      <c r="A13" s="1" t="s">
        <v>52</v>
      </c>
      <c r="B13" s="1" t="n">
        <v>60</v>
      </c>
      <c r="C13" s="1" t="n">
        <v>130</v>
      </c>
      <c r="D13" s="1" t="n">
        <v>110</v>
      </c>
      <c r="E13" s="1" t="n">
        <v>100</v>
      </c>
      <c r="F13" s="1" t="n">
        <v>120</v>
      </c>
      <c r="G13" s="1" t="n">
        <v>150</v>
      </c>
      <c r="H13" s="1" t="n">
        <v>130</v>
      </c>
      <c r="I13" s="1" t="n">
        <v>150</v>
      </c>
      <c r="J13" s="1" t="n">
        <v>120</v>
      </c>
      <c r="K13" s="1" t="n">
        <v>130</v>
      </c>
      <c r="L13" s="1" t="n">
        <v>130</v>
      </c>
      <c r="M13" s="1" t="n">
        <v>140</v>
      </c>
    </row>
    <row r="14" customFormat="false" ht="14.25" hidden="false" customHeight="false" outlineLevel="0" collapsed="false">
      <c r="A14" s="1" t="s">
        <v>53</v>
      </c>
      <c r="B14" s="1" t="n">
        <v>60</v>
      </c>
      <c r="C14" s="1" t="n">
        <v>130</v>
      </c>
      <c r="D14" s="1" t="n">
        <v>110</v>
      </c>
      <c r="E14" s="1" t="n">
        <v>90</v>
      </c>
      <c r="F14" s="1" t="n">
        <v>100</v>
      </c>
      <c r="G14" s="1" t="n">
        <v>140</v>
      </c>
      <c r="H14" s="1" t="n">
        <v>130</v>
      </c>
      <c r="I14" s="1" t="n">
        <v>150</v>
      </c>
      <c r="J14" s="2" t="n">
        <v>120</v>
      </c>
      <c r="K14" s="2" t="n">
        <v>130</v>
      </c>
      <c r="L14" s="2" t="n">
        <v>130</v>
      </c>
      <c r="M14" s="2" t="n">
        <v>140</v>
      </c>
      <c r="N14" s="1" t="s">
        <v>54</v>
      </c>
    </row>
    <row r="16" customFormat="false" ht="14.25" hidden="false" customHeight="false" outlineLevel="0" collapsed="false">
      <c r="A16" s="1" t="s">
        <v>52</v>
      </c>
      <c r="B16" s="1" t="n">
        <v>10</v>
      </c>
      <c r="C16" s="1" t="n">
        <v>10</v>
      </c>
      <c r="D16" s="1" t="n">
        <v>10</v>
      </c>
      <c r="E16" s="1" t="n">
        <v>10</v>
      </c>
      <c r="F16" s="1" t="n">
        <v>10</v>
      </c>
      <c r="G16" s="1" t="n">
        <v>10</v>
      </c>
      <c r="H16" s="1" t="n">
        <v>10</v>
      </c>
      <c r="I16" s="1" t="n">
        <v>10</v>
      </c>
      <c r="J16" s="1" t="n">
        <v>10</v>
      </c>
      <c r="K16" s="1" t="n">
        <v>10</v>
      </c>
      <c r="L16" s="1" t="n">
        <v>10</v>
      </c>
      <c r="M16" s="1" t="n">
        <v>10</v>
      </c>
    </row>
    <row r="17" customFormat="false" ht="14.25" hidden="false" customHeight="false" outlineLevel="0" collapsed="false">
      <c r="A17" s="1" t="s">
        <v>53</v>
      </c>
      <c r="B17" s="1" t="n">
        <v>10</v>
      </c>
      <c r="C17" s="1" t="n">
        <v>8</v>
      </c>
      <c r="D17" s="1" t="n">
        <v>6</v>
      </c>
      <c r="E17" s="1" t="n">
        <v>8</v>
      </c>
      <c r="F17" s="1" t="n">
        <v>7</v>
      </c>
      <c r="G17" s="1" t="n">
        <v>8</v>
      </c>
      <c r="H17" s="1" t="n">
        <v>7</v>
      </c>
      <c r="I17" s="1" t="n">
        <v>8</v>
      </c>
      <c r="J17" s="2" t="n">
        <v>7</v>
      </c>
      <c r="K17" s="2" t="n">
        <v>7</v>
      </c>
      <c r="L17" s="2" t="n">
        <v>7</v>
      </c>
      <c r="M17" s="2" t="n">
        <v>7</v>
      </c>
      <c r="N17" s="1" t="s">
        <v>55</v>
      </c>
    </row>
    <row r="18" customFormat="false" ht="14.25" hidden="false" customHeight="false" outlineLevel="0" collapsed="false">
      <c r="B18" s="1" t="s">
        <v>34</v>
      </c>
    </row>
    <row r="19" customFormat="false" ht="14.25" hidden="false" customHeight="false" outlineLevel="0" collapsed="false">
      <c r="A19" s="1" t="s">
        <v>52</v>
      </c>
      <c r="B19" s="1" t="n">
        <v>20</v>
      </c>
    </row>
    <row r="20" customFormat="false" ht="14.25" hidden="false" customHeight="false" outlineLevel="0" collapsed="false">
      <c r="A20" s="1" t="s">
        <v>53</v>
      </c>
      <c r="B20" s="1" t="n">
        <v>15</v>
      </c>
      <c r="C20" s="1" t="s">
        <v>56</v>
      </c>
    </row>
    <row r="21" customFormat="false" ht="14.25" hidden="false" customHeight="false" outlineLevel="0" collapsed="false">
      <c r="B21" s="1" t="s">
        <v>57</v>
      </c>
    </row>
    <row r="22" customFormat="false" ht="14.25" hidden="false" customHeight="false" outlineLevel="0" collapsed="false">
      <c r="A22" s="1" t="s">
        <v>52</v>
      </c>
      <c r="B22" s="1" t="n">
        <v>100</v>
      </c>
    </row>
    <row r="23" customFormat="false" ht="14.25" hidden="false" customHeight="false" outlineLevel="0" collapsed="false">
      <c r="A23" s="1" t="s">
        <v>53</v>
      </c>
      <c r="B23" s="2" t="n">
        <v>95</v>
      </c>
    </row>
    <row r="24" customFormat="false" ht="14.25" hidden="false" customHeight="false" outlineLevel="0" collapsed="false">
      <c r="B24" s="1" t="s">
        <v>58</v>
      </c>
    </row>
    <row r="25" customFormat="false" ht="14.25" hidden="false" customHeight="false" outlineLevel="0" collapsed="false">
      <c r="A25" s="1" t="s">
        <v>52</v>
      </c>
      <c r="B25" s="1" t="n">
        <v>20</v>
      </c>
    </row>
    <row r="26" customFormat="false" ht="14.25" hidden="false" customHeight="false" outlineLevel="0" collapsed="false">
      <c r="A26" s="1" t="s">
        <v>53</v>
      </c>
      <c r="B26" s="2" t="n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2023-10-31T14:56:57Z</dcterms:created>
  <dc:creator/>
  <dc:description/>
  <dc:language>en-US</dc:language>
  <cp:lastModifiedBy/>
  <dcterms:modified xsi:type="dcterms:W3CDTF">2025-11-04T16:58:50Z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